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166925"/>
  <mc:AlternateContent xmlns:mc="http://schemas.openxmlformats.org/markup-compatibility/2006">
    <mc:Choice Requires="x15">
      <x15ac:absPath xmlns:x15ac="http://schemas.microsoft.com/office/spreadsheetml/2010/11/ac" url="/Users/ritaz/lab/ws-workspace/c74/lulu-backend/"/>
    </mc:Choice>
  </mc:AlternateContent>
  <xr:revisionPtr revIDLastSave="0" documentId="13_ncr:1_{8D035EF8-1713-054C-ABB5-50C2C14F27E8}" xr6:coauthVersionLast="47" xr6:coauthVersionMax="47" xr10:uidLastSave="{00000000-0000-0000-0000-000000000000}"/>
  <bookViews>
    <workbookView xWindow="0" yWindow="500" windowWidth="28800" windowHeight="16320" xr2:uid="{13CC896E-E54B-1449-8FFC-801962B829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3" i="1" l="1"/>
  <c r="T3" i="1" s="1"/>
  <c r="R3" i="1"/>
  <c r="S3" i="1"/>
  <c r="Q4" i="1"/>
  <c r="T4" i="1" s="1"/>
  <c r="R4" i="1"/>
  <c r="S4" i="1"/>
  <c r="Q5" i="1"/>
  <c r="T5" i="1" s="1"/>
  <c r="R5" i="1"/>
  <c r="S5" i="1"/>
  <c r="Q6" i="1"/>
  <c r="T6" i="1" s="1"/>
  <c r="R6" i="1"/>
  <c r="S6" i="1"/>
  <c r="Q7" i="1"/>
  <c r="T7" i="1" s="1"/>
  <c r="R7" i="1"/>
  <c r="S7" i="1"/>
  <c r="Q8" i="1"/>
  <c r="T8" i="1" s="1"/>
  <c r="R8" i="1"/>
  <c r="S8" i="1"/>
  <c r="Q9" i="1"/>
  <c r="T9" i="1" s="1"/>
  <c r="R9" i="1"/>
  <c r="S9" i="1"/>
  <c r="Q10" i="1"/>
  <c r="T10" i="1" s="1"/>
  <c r="R10" i="1"/>
  <c r="S10" i="1"/>
  <c r="Q11" i="1"/>
  <c r="T11" i="1" s="1"/>
  <c r="R11" i="1"/>
  <c r="S11" i="1"/>
  <c r="Q12" i="1"/>
  <c r="T12" i="1" s="1"/>
  <c r="R12" i="1"/>
  <c r="S12" i="1"/>
  <c r="Q13" i="1"/>
  <c r="T13" i="1" s="1"/>
  <c r="R13" i="1"/>
  <c r="S13" i="1"/>
  <c r="Q14" i="1"/>
  <c r="T14" i="1" s="1"/>
  <c r="R14" i="1"/>
  <c r="S14" i="1"/>
  <c r="Q15" i="1"/>
  <c r="T15" i="1" s="1"/>
  <c r="R15" i="1"/>
  <c r="S15" i="1"/>
  <c r="Q16" i="1"/>
  <c r="T16" i="1" s="1"/>
  <c r="R16" i="1"/>
  <c r="S16" i="1"/>
  <c r="Q17" i="1"/>
  <c r="T17" i="1" s="1"/>
  <c r="R17" i="1"/>
  <c r="S17" i="1"/>
  <c r="Q18" i="1"/>
  <c r="T18" i="1" s="1"/>
  <c r="R18" i="1"/>
  <c r="S18" i="1"/>
  <c r="Q19" i="1"/>
  <c r="T19" i="1" s="1"/>
  <c r="R19" i="1"/>
  <c r="S19" i="1"/>
  <c r="Q20" i="1"/>
  <c r="T20" i="1" s="1"/>
  <c r="R20" i="1"/>
  <c r="S20" i="1"/>
  <c r="Q21" i="1"/>
  <c r="T21" i="1" s="1"/>
  <c r="R21" i="1"/>
  <c r="S21" i="1"/>
  <c r="Q22" i="1"/>
  <c r="T22" i="1" s="1"/>
  <c r="R22" i="1"/>
  <c r="S22" i="1"/>
  <c r="Q23" i="1"/>
  <c r="T23" i="1" s="1"/>
  <c r="R23" i="1"/>
  <c r="S23" i="1"/>
  <c r="Q24" i="1"/>
  <c r="T24" i="1" s="1"/>
  <c r="R24" i="1"/>
  <c r="S24" i="1"/>
  <c r="Q25" i="1"/>
  <c r="T25" i="1" s="1"/>
  <c r="R25" i="1"/>
  <c r="S25" i="1"/>
  <c r="Q26" i="1"/>
  <c r="T26" i="1" s="1"/>
  <c r="R26" i="1"/>
  <c r="S26" i="1"/>
  <c r="Q27" i="1"/>
  <c r="T27" i="1" s="1"/>
  <c r="R27" i="1"/>
  <c r="S27" i="1"/>
  <c r="Q28" i="1"/>
  <c r="T28" i="1" s="1"/>
  <c r="R28" i="1"/>
  <c r="S28" i="1"/>
  <c r="Q29" i="1"/>
  <c r="T29" i="1" s="1"/>
  <c r="R29" i="1"/>
  <c r="S29" i="1"/>
  <c r="Q30" i="1"/>
  <c r="T30" i="1" s="1"/>
  <c r="R30" i="1"/>
  <c r="S30" i="1"/>
  <c r="Q31" i="1"/>
  <c r="T31" i="1" s="1"/>
  <c r="R31" i="1"/>
  <c r="S31" i="1"/>
  <c r="Q32" i="1"/>
  <c r="T32" i="1" s="1"/>
  <c r="R32" i="1"/>
  <c r="S32" i="1"/>
  <c r="Q33" i="1"/>
  <c r="T33" i="1" s="1"/>
  <c r="R33" i="1"/>
  <c r="S33" i="1"/>
  <c r="Q34" i="1"/>
  <c r="T34" i="1" s="1"/>
  <c r="R34" i="1"/>
  <c r="S34" i="1"/>
  <c r="S2" i="1"/>
  <c r="R2" i="1"/>
  <c r="Q2" i="1"/>
  <c r="T2" i="1" s="1"/>
  <c r="G2" i="1"/>
  <c r="F2" i="1"/>
  <c r="E2" i="1"/>
  <c r="A2"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 i="1"/>
  <c r="E4" i="1"/>
  <c r="E5" i="1"/>
  <c r="E6" i="1"/>
  <c r="K6" i="1" s="1"/>
  <c r="E7" i="1"/>
  <c r="E8" i="1"/>
  <c r="E9" i="1"/>
  <c r="E10" i="1"/>
  <c r="E11" i="1"/>
  <c r="E12" i="1"/>
  <c r="E13" i="1"/>
  <c r="E14" i="1"/>
  <c r="E15" i="1"/>
  <c r="E16" i="1"/>
  <c r="E17" i="1"/>
  <c r="E18" i="1"/>
  <c r="E19" i="1"/>
  <c r="K19" i="1" s="1"/>
  <c r="E20" i="1"/>
  <c r="E21" i="1"/>
  <c r="E22" i="1"/>
  <c r="K22" i="1" s="1"/>
  <c r="E23" i="1"/>
  <c r="E24" i="1"/>
  <c r="E25" i="1"/>
  <c r="E26" i="1"/>
  <c r="E27" i="1"/>
  <c r="E28" i="1"/>
  <c r="K28" i="1" s="1"/>
  <c r="E29" i="1"/>
  <c r="E30" i="1"/>
  <c r="E31" i="1"/>
  <c r="K31" i="1" s="1"/>
  <c r="E32" i="1"/>
  <c r="E33" i="1"/>
  <c r="E34" i="1"/>
  <c r="E3" i="1"/>
  <c r="A4" i="1"/>
  <c r="K4" i="1" s="1"/>
  <c r="A5" i="1"/>
  <c r="K5" i="1" s="1"/>
  <c r="A7" i="1"/>
  <c r="A8" i="1"/>
  <c r="A9" i="1"/>
  <c r="A10" i="1"/>
  <c r="A11" i="1"/>
  <c r="A12" i="1"/>
  <c r="A13" i="1"/>
  <c r="A14" i="1"/>
  <c r="A15" i="1"/>
  <c r="A16" i="1"/>
  <c r="A17" i="1"/>
  <c r="A18" i="1"/>
  <c r="A20" i="1"/>
  <c r="A21" i="1"/>
  <c r="A23" i="1"/>
  <c r="A24" i="1"/>
  <c r="A25" i="1"/>
  <c r="A26" i="1"/>
  <c r="A27" i="1"/>
  <c r="A29" i="1"/>
  <c r="K29" i="1" s="1"/>
  <c r="A30" i="1"/>
  <c r="K30" i="1" s="1"/>
  <c r="A32" i="1"/>
  <c r="A33" i="1"/>
  <c r="A34" i="1"/>
  <c r="A3" i="1"/>
  <c r="K12" i="1" l="1"/>
  <c r="K2" i="1"/>
  <c r="K32" i="1"/>
  <c r="K8" i="1"/>
  <c r="K20" i="1"/>
  <c r="K16" i="1"/>
  <c r="K24" i="1"/>
  <c r="K3" i="1"/>
  <c r="K26" i="1"/>
  <c r="K18" i="1"/>
  <c r="K14" i="1"/>
  <c r="K10" i="1"/>
  <c r="K34" i="1"/>
  <c r="K15" i="1"/>
  <c r="K7" i="1"/>
  <c r="K27" i="1"/>
  <c r="K23" i="1"/>
  <c r="K11" i="1"/>
  <c r="K33" i="1"/>
  <c r="K21" i="1"/>
  <c r="K25" i="1"/>
  <c r="K17" i="1"/>
  <c r="K13" i="1"/>
  <c r="K9" i="1"/>
</calcChain>
</file>

<file path=xl/sharedStrings.xml><?xml version="1.0" encoding="utf-8"?>
<sst xmlns="http://schemas.openxmlformats.org/spreadsheetml/2006/main" count="150" uniqueCount="22">
  <si>
    <t>status</t>
  </si>
  <si>
    <t>notificationEmail</t>
  </si>
  <si>
    <t>deliveryOption</t>
  </si>
  <si>
    <t>deliveryFee</t>
  </si>
  <si>
    <t>tax</t>
  </si>
  <si>
    <t>totalItem</t>
  </si>
  <si>
    <t>totalAmount</t>
  </si>
  <si>
    <t>isGift</t>
  </si>
  <si>
    <t>userId</t>
  </si>
  <si>
    <t>shippingAddressId</t>
  </si>
  <si>
    <t>abc@hotmail.com</t>
  </si>
  <si>
    <t>Standard</t>
  </si>
  <si>
    <t>orderId</t>
  </si>
  <si>
    <t>productId</t>
  </si>
  <si>
    <t>productName</t>
  </si>
  <si>
    <t>colorId</t>
  </si>
  <si>
    <t>colorAlt</t>
  </si>
  <si>
    <t>size</t>
  </si>
  <si>
    <t>price</t>
  </si>
  <si>
    <t>quantity</t>
  </si>
  <si>
    <t>prod9820681</t>
  </si>
  <si>
    <t>Dummy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</si>
</sst>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06EE0-1601-6744-BBDF-46E9F872F7C1}">
  <dimension ref="A1:T34"/>
  <sheetViews>
    <sheetView tabSelected="1" topLeftCell="D1" workbookViewId="0">
      <selection activeCell="T4" sqref="T4"/>
    </sheetView>
  </sheetViews>
  <sheetFormatPr baseColWidth="10" defaultRowHeight="16" customHeight="1" x14ac:dyDescent="0.2"/>
  <cols>
    <col min="2" max="2" width="22.6640625" customWidth="1"/>
    <col min="3" max="3" width="16.6640625" customWidth="1"/>
    <col min="4" max="4" width="14.5" customWidth="1"/>
    <col min="5" max="5" width="10.83203125" style="1"/>
    <col min="7" max="7" width="15.1640625" customWidth="1"/>
    <col min="10" max="10" width="16" bestFit="1" customWidth="1"/>
    <col min="11" max="11" width="25.5" style="2" customWidth="1"/>
    <col min="13" max="13" width="20.6640625" customWidth="1"/>
    <col min="14" max="14" width="16" customWidth="1"/>
    <col min="15" max="15" width="10.83203125" style="3"/>
    <col min="20" max="20" width="26.6640625" style="2" customWidth="1"/>
  </cols>
  <sheetData>
    <row r="1" spans="1:20" ht="16" customHeight="1" x14ac:dyDescent="0.2">
      <c r="A1" t="s">
        <v>0</v>
      </c>
      <c r="B1" t="s">
        <v>1</v>
      </c>
      <c r="C1" t="s">
        <v>2</v>
      </c>
      <c r="D1" t="s">
        <v>3</v>
      </c>
      <c r="E1" s="1" t="s">
        <v>4</v>
      </c>
      <c r="F1" t="s">
        <v>5</v>
      </c>
      <c r="G1" t="s">
        <v>6</v>
      </c>
      <c r="H1" t="s">
        <v>7</v>
      </c>
      <c r="I1" t="s">
        <v>8</v>
      </c>
      <c r="J1" t="s">
        <v>9</v>
      </c>
      <c r="L1" t="s">
        <v>12</v>
      </c>
      <c r="M1" t="s">
        <v>13</v>
      </c>
      <c r="N1" t="s">
        <v>14</v>
      </c>
      <c r="O1" s="3" t="s">
        <v>15</v>
      </c>
      <c r="P1" t="s">
        <v>16</v>
      </c>
      <c r="Q1" t="s">
        <v>17</v>
      </c>
      <c r="R1" t="s">
        <v>18</v>
      </c>
      <c r="S1" t="s">
        <v>19</v>
      </c>
    </row>
    <row r="2" spans="1:20" ht="16" customHeight="1" x14ac:dyDescent="0.2">
      <c r="A2">
        <f ca="1">RANDBETWEEN(1, 3)</f>
        <v>3</v>
      </c>
      <c r="B2" t="s">
        <v>10</v>
      </c>
      <c r="C2" t="s">
        <v>11</v>
      </c>
      <c r="D2">
        <v>0</v>
      </c>
      <c r="E2" s="1">
        <f ca="1">5+RAND()*RANDBETWEEN(1,2)</f>
        <v>5.9103263022232602</v>
      </c>
      <c r="F2">
        <f ca="1">RANDBETWEEN(1,10)</f>
        <v>2</v>
      </c>
      <c r="G2">
        <f ca="1">RANDBETWEEN(20,200)</f>
        <v>107</v>
      </c>
      <c r="H2">
        <v>0</v>
      </c>
      <c r="I2">
        <v>1</v>
      </c>
      <c r="J2">
        <v>1</v>
      </c>
      <c r="K2" s="2" t="str">
        <f ca="1">_xlfn.CONCAT("insert into TBL_ORDER (status, notificationEmail, deliveryOption, deliveryFee, tax, totalItem, totalAmount, isGift, userId, shippingAddressId) values (", A2, ",'", B2, "'", ",'", C2, "'", ",", D2, ",", E2, ",", F2, ",", G2, ",", H2, ",",I2, ",",J2,")",";")</f>
        <v>insert into TBL_ORDER (status, notificationEmail, deliveryOption, deliveryFee, tax, totalItem, totalAmount, isGift, userId, shippingAddressId) values (3,'abc@hotmail.com','Standard',0,5.91032630222326,2,107,0,1,1);</v>
      </c>
      <c r="L2">
        <v>1</v>
      </c>
      <c r="M2" t="s">
        <v>20</v>
      </c>
      <c r="N2" t="s">
        <v>21</v>
      </c>
      <c r="O2" s="3">
        <v>26083</v>
      </c>
      <c r="P2" s="3">
        <v>26083</v>
      </c>
      <c r="Q2">
        <f ca="1">RANDBETWEEN(0,10)*2</f>
        <v>10</v>
      </c>
      <c r="R2">
        <f ca="1">RANDBETWEEN(30,120)</f>
        <v>42</v>
      </c>
      <c r="S2">
        <f ca="1">RANDBETWEEN(1,5)</f>
        <v>2</v>
      </c>
      <c r="T2" s="2" t="str">
        <f ca="1">_xlfn.CONCAT("insert into TBL_ORDER_ITEM (orderId, productId, productName, colorId, colorAlt, size, price, quantity) values (",L2, ",", "'", M2, "',", "'", N2, "',", "'", O2, "',", "'", P2, "',", Q2, ",", R2, ",", S2, ")",";")</f>
        <v>insert into TBL_ORDER_ITEM (orderId, productId, productName, colorId, colorAlt, size, price, quantity) values (1,'prod9820681','Dummy Product','26083','26083',10,42,2);</v>
      </c>
    </row>
    <row r="3" spans="1:20" ht="16" customHeight="1" x14ac:dyDescent="0.2">
      <c r="A3">
        <f ca="1">RANDBETWEEN(1, 3)</f>
        <v>3</v>
      </c>
      <c r="B3" t="s">
        <v>10</v>
      </c>
      <c r="C3" t="s">
        <v>11</v>
      </c>
      <c r="D3">
        <v>0</v>
      </c>
      <c r="E3" s="1">
        <f ca="1">5+RAND()*RANDBETWEEN(1,2)</f>
        <v>5.4881745412966154</v>
      </c>
      <c r="F3">
        <f ca="1">RANDBETWEEN(1,10)</f>
        <v>9</v>
      </c>
      <c r="G3">
        <f ca="1">RANDBETWEEN(20,200)</f>
        <v>22</v>
      </c>
      <c r="H3">
        <v>0</v>
      </c>
      <c r="I3">
        <v>1</v>
      </c>
      <c r="J3">
        <v>1</v>
      </c>
      <c r="K3" s="2" t="str">
        <f ca="1">_xlfn.CONCAT("insert into TBL_ORDER (status, notificationEmail, deliveryOption, deliveryFee, tax, totalItem, totalAmount, isGift, userId, shippingAddressId) values (", A3, ",'", B3, "'", ",'", C3, "'", ",", D3, ",", E3, ",", F3, ",", G3, ",", H3, ",",I3, ",",J3,")",";")</f>
        <v>insert into TBL_ORDER (status, notificationEmail, deliveryOption, deliveryFee, tax, totalItem, totalAmount, isGift, userId, shippingAddressId) values (3,'abc@hotmail.com','Standard',0,5.48817454129662,9,22,0,1,1);</v>
      </c>
      <c r="L3">
        <v>2</v>
      </c>
      <c r="M3" t="s">
        <v>20</v>
      </c>
      <c r="N3" t="s">
        <v>21</v>
      </c>
      <c r="O3" s="3">
        <v>26083</v>
      </c>
      <c r="P3" s="3">
        <v>26083</v>
      </c>
      <c r="Q3">
        <f t="shared" ref="Q3:Q34" ca="1" si="0">RANDBETWEEN(0,10)*2</f>
        <v>6</v>
      </c>
      <c r="R3">
        <f t="shared" ref="R3:R34" ca="1" si="1">RANDBETWEEN(30,120)</f>
        <v>86</v>
      </c>
      <c r="S3">
        <f t="shared" ref="S3:S34" ca="1" si="2">RANDBETWEEN(1,5)</f>
        <v>3</v>
      </c>
      <c r="T3" s="2" t="str">
        <f t="shared" ref="T3:T34" ca="1" si="3">_xlfn.CONCAT("insert into TBL_ORDER_ITEM (orderId, productId, productName, colorId, colorAlt, size, price, quantity) values (",L3, ",", "'", M3, "',", "'", N3, "',", "'", O3, "',", "'", P3, "',", Q3, ",", R3, ",", S3, ")",";")</f>
        <v>insert into TBL_ORDER_ITEM (orderId, productId, productName, colorId, colorAlt, size, price, quantity) values (2,'prod9820681','Dummy Product','26083','26083',6,86,3);</v>
      </c>
    </row>
    <row r="4" spans="1:20" ht="16" customHeight="1" x14ac:dyDescent="0.2">
      <c r="A4">
        <f t="shared" ref="A4:A34" ca="1" si="4">RANDBETWEEN(1, 3)</f>
        <v>1</v>
      </c>
      <c r="B4" t="s">
        <v>10</v>
      </c>
      <c r="C4" t="s">
        <v>11</v>
      </c>
      <c r="D4">
        <v>0</v>
      </c>
      <c r="E4" s="1">
        <f t="shared" ref="E4:E34" ca="1" si="5">5+RAND()*RANDBETWEEN(1,2)</f>
        <v>5.7261235721195067</v>
      </c>
      <c r="F4">
        <f t="shared" ref="F4:F34" ca="1" si="6">RANDBETWEEN(1,10)</f>
        <v>7</v>
      </c>
      <c r="G4">
        <f t="shared" ref="G4:G34" ca="1" si="7">RANDBETWEEN(20,200)</f>
        <v>68</v>
      </c>
      <c r="H4">
        <v>0</v>
      </c>
      <c r="I4">
        <v>1</v>
      </c>
      <c r="J4">
        <v>1</v>
      </c>
      <c r="K4" s="2" t="str">
        <f t="shared" ref="K4:K34" ca="1" si="8">_xlfn.CONCAT("insert into TBL_ORDER (status, notificationEmail, deliveryOption, deliveryFee, tax, totalItem, totalAmount, isGift, userId, shippingAddressId) values (", A4, ",'", B4, "'", ",'", C4, "'", ",", D4, ",", E4, ",", F4, ",", G4, ",", H4, ",",I4, ",",J4,")",";")</f>
        <v>insert into TBL_ORDER (status, notificationEmail, deliveryOption, deliveryFee, tax, totalItem, totalAmount, isGift, userId, shippingAddressId) values (1,'abc@hotmail.com','Standard',0,5.72612357211951,7,68,0,1,1);</v>
      </c>
      <c r="L4">
        <v>3</v>
      </c>
      <c r="M4" t="s">
        <v>20</v>
      </c>
      <c r="N4" t="s">
        <v>21</v>
      </c>
      <c r="O4" s="3">
        <v>26083</v>
      </c>
      <c r="P4" s="3">
        <v>26083</v>
      </c>
      <c r="Q4">
        <f t="shared" ca="1" si="0"/>
        <v>10</v>
      </c>
      <c r="R4">
        <f t="shared" ca="1" si="1"/>
        <v>100</v>
      </c>
      <c r="S4">
        <f t="shared" ca="1" si="2"/>
        <v>1</v>
      </c>
      <c r="T4" s="2" t="str">
        <f t="shared" ca="1" si="3"/>
        <v>insert into TBL_ORDER_ITEM (orderId, productId, productName, colorId, colorAlt, size, price, quantity) values (3,'prod9820681','Dummy Product','26083','26083',10,100,1);</v>
      </c>
    </row>
    <row r="5" spans="1:20" ht="16" customHeight="1" x14ac:dyDescent="0.2">
      <c r="A5">
        <f t="shared" ca="1" si="4"/>
        <v>2</v>
      </c>
      <c r="B5" t="s">
        <v>10</v>
      </c>
      <c r="C5" t="s">
        <v>11</v>
      </c>
      <c r="D5">
        <v>0</v>
      </c>
      <c r="E5" s="1">
        <f t="shared" ca="1" si="5"/>
        <v>5.2611378220501184</v>
      </c>
      <c r="F5">
        <f t="shared" ca="1" si="6"/>
        <v>1</v>
      </c>
      <c r="G5">
        <f t="shared" ca="1" si="7"/>
        <v>117</v>
      </c>
      <c r="H5">
        <v>0</v>
      </c>
      <c r="I5">
        <v>1</v>
      </c>
      <c r="J5">
        <v>1</v>
      </c>
      <c r="K5" s="2" t="str">
        <f t="shared" ca="1" si="8"/>
        <v>insert into TBL_ORDER (status, notificationEmail, deliveryOption, deliveryFee, tax, totalItem, totalAmount, isGift, userId, shippingAddressId) values (2,'abc@hotmail.com','Standard',0,5.26113782205012,1,117,0,1,1);</v>
      </c>
      <c r="L5">
        <v>4</v>
      </c>
      <c r="M5" t="s">
        <v>20</v>
      </c>
      <c r="N5" t="s">
        <v>21</v>
      </c>
      <c r="O5" s="3">
        <v>26083</v>
      </c>
      <c r="P5" s="3">
        <v>26083</v>
      </c>
      <c r="Q5">
        <f t="shared" ca="1" si="0"/>
        <v>2</v>
      </c>
      <c r="R5">
        <f t="shared" ca="1" si="1"/>
        <v>93</v>
      </c>
      <c r="S5">
        <f t="shared" ca="1" si="2"/>
        <v>3</v>
      </c>
      <c r="T5" s="2" t="str">
        <f t="shared" ca="1" si="3"/>
        <v>insert into TBL_ORDER_ITEM (orderId, productId, productName, colorId, colorAlt, size, price, quantity) values (4,'prod9820681','Dummy Product','26083','26083',2,93,3);</v>
      </c>
    </row>
    <row r="6" spans="1:20" ht="16" customHeight="1" x14ac:dyDescent="0.2">
      <c r="A6">
        <v>9</v>
      </c>
      <c r="B6" t="s">
        <v>10</v>
      </c>
      <c r="C6" t="s">
        <v>11</v>
      </c>
      <c r="D6">
        <v>0</v>
      </c>
      <c r="E6" s="1">
        <f t="shared" ca="1" si="5"/>
        <v>6.2300158238217698</v>
      </c>
      <c r="F6">
        <f t="shared" ca="1" si="6"/>
        <v>8</v>
      </c>
      <c r="G6">
        <f t="shared" ca="1" si="7"/>
        <v>196</v>
      </c>
      <c r="H6">
        <v>0</v>
      </c>
      <c r="I6">
        <v>1</v>
      </c>
      <c r="J6">
        <v>1</v>
      </c>
      <c r="K6" s="2" t="str">
        <f t="shared" ca="1" si="8"/>
        <v>insert into TBL_ORDER (status, notificationEmail, deliveryOption, deliveryFee, tax, totalItem, totalAmount, isGift, userId, shippingAddressId) values (9,'abc@hotmail.com','Standard',0,6.23001582382177,8,196,0,1,1);</v>
      </c>
      <c r="L6">
        <v>5</v>
      </c>
      <c r="M6" t="s">
        <v>20</v>
      </c>
      <c r="N6" t="s">
        <v>21</v>
      </c>
      <c r="O6" s="3">
        <v>26083</v>
      </c>
      <c r="P6" s="3">
        <v>26083</v>
      </c>
      <c r="Q6">
        <f t="shared" ca="1" si="0"/>
        <v>18</v>
      </c>
      <c r="R6">
        <f t="shared" ca="1" si="1"/>
        <v>104</v>
      </c>
      <c r="S6">
        <f t="shared" ca="1" si="2"/>
        <v>2</v>
      </c>
      <c r="T6" s="2" t="str">
        <f t="shared" ca="1" si="3"/>
        <v>insert into TBL_ORDER_ITEM (orderId, productId, productName, colorId, colorAlt, size, price, quantity) values (5,'prod9820681','Dummy Product','26083','26083',18,104,2);</v>
      </c>
    </row>
    <row r="7" spans="1:20" ht="16" customHeight="1" x14ac:dyDescent="0.2">
      <c r="A7">
        <f t="shared" ca="1" si="4"/>
        <v>3</v>
      </c>
      <c r="B7" t="s">
        <v>10</v>
      </c>
      <c r="C7" t="s">
        <v>11</v>
      </c>
      <c r="D7">
        <v>0</v>
      </c>
      <c r="E7" s="1">
        <f t="shared" ca="1" si="5"/>
        <v>5.0410100178041111</v>
      </c>
      <c r="F7">
        <f t="shared" ca="1" si="6"/>
        <v>8</v>
      </c>
      <c r="G7">
        <f t="shared" ca="1" si="7"/>
        <v>115</v>
      </c>
      <c r="H7">
        <v>0</v>
      </c>
      <c r="I7">
        <v>1</v>
      </c>
      <c r="J7">
        <v>1</v>
      </c>
      <c r="K7" s="2" t="str">
        <f t="shared" ca="1" si="8"/>
        <v>insert into TBL_ORDER (status, notificationEmail, deliveryOption, deliveryFee, tax, totalItem, totalAmount, isGift, userId, shippingAddressId) values (3,'abc@hotmail.com','Standard',0,5.04101001780411,8,115,0,1,1);</v>
      </c>
      <c r="L7">
        <v>6</v>
      </c>
      <c r="M7" t="s">
        <v>20</v>
      </c>
      <c r="N7" t="s">
        <v>21</v>
      </c>
      <c r="O7" s="3">
        <v>26083</v>
      </c>
      <c r="P7" s="3">
        <v>26083</v>
      </c>
      <c r="Q7">
        <f t="shared" ca="1" si="0"/>
        <v>4</v>
      </c>
      <c r="R7">
        <f t="shared" ca="1" si="1"/>
        <v>46</v>
      </c>
      <c r="S7">
        <f t="shared" ca="1" si="2"/>
        <v>3</v>
      </c>
      <c r="T7" s="2" t="str">
        <f t="shared" ca="1" si="3"/>
        <v>insert into TBL_ORDER_ITEM (orderId, productId, productName, colorId, colorAlt, size, price, quantity) values (6,'prod9820681','Dummy Product','26083','26083',4,46,3);</v>
      </c>
    </row>
    <row r="8" spans="1:20" ht="16" customHeight="1" x14ac:dyDescent="0.2">
      <c r="A8">
        <f t="shared" ca="1" si="4"/>
        <v>1</v>
      </c>
      <c r="B8" t="s">
        <v>10</v>
      </c>
      <c r="C8" t="s">
        <v>11</v>
      </c>
      <c r="D8">
        <v>0</v>
      </c>
      <c r="E8" s="1">
        <f t="shared" ca="1" si="5"/>
        <v>5.7495037446057946</v>
      </c>
      <c r="F8">
        <f t="shared" ca="1" si="6"/>
        <v>3</v>
      </c>
      <c r="G8">
        <f t="shared" ca="1" si="7"/>
        <v>61</v>
      </c>
      <c r="H8">
        <v>0</v>
      </c>
      <c r="I8">
        <v>1</v>
      </c>
      <c r="J8">
        <v>1</v>
      </c>
      <c r="K8" s="2" t="str">
        <f t="shared" ca="1" si="8"/>
        <v>insert into TBL_ORDER (status, notificationEmail, deliveryOption, deliveryFee, tax, totalItem, totalAmount, isGift, userId, shippingAddressId) values (1,'abc@hotmail.com','Standard',0,5.74950374460579,3,61,0,1,1);</v>
      </c>
      <c r="L8">
        <v>7</v>
      </c>
      <c r="M8" t="s">
        <v>20</v>
      </c>
      <c r="N8" t="s">
        <v>21</v>
      </c>
      <c r="O8" s="3">
        <v>26083</v>
      </c>
      <c r="P8" s="3">
        <v>26083</v>
      </c>
      <c r="Q8">
        <f t="shared" ca="1" si="0"/>
        <v>18</v>
      </c>
      <c r="R8">
        <f t="shared" ca="1" si="1"/>
        <v>47</v>
      </c>
      <c r="S8">
        <f t="shared" ca="1" si="2"/>
        <v>5</v>
      </c>
      <c r="T8" s="2" t="str">
        <f t="shared" ca="1" si="3"/>
        <v>insert into TBL_ORDER_ITEM (orderId, productId, productName, colorId, colorAlt, size, price, quantity) values (7,'prod9820681','Dummy Product','26083','26083',18,47,5);</v>
      </c>
    </row>
    <row r="9" spans="1:20" ht="16" customHeight="1" x14ac:dyDescent="0.2">
      <c r="A9">
        <f t="shared" ca="1" si="4"/>
        <v>3</v>
      </c>
      <c r="B9" t="s">
        <v>10</v>
      </c>
      <c r="C9" t="s">
        <v>11</v>
      </c>
      <c r="D9">
        <v>0</v>
      </c>
      <c r="E9" s="1">
        <f t="shared" ca="1" si="5"/>
        <v>6.4364465264664537</v>
      </c>
      <c r="F9">
        <f t="shared" ca="1" si="6"/>
        <v>8</v>
      </c>
      <c r="G9">
        <f t="shared" ca="1" si="7"/>
        <v>65</v>
      </c>
      <c r="H9">
        <v>0</v>
      </c>
      <c r="I9">
        <v>1</v>
      </c>
      <c r="J9">
        <v>1</v>
      </c>
      <c r="K9" s="2" t="str">
        <f t="shared" ca="1" si="8"/>
        <v>insert into TBL_ORDER (status, notificationEmail, deliveryOption, deliveryFee, tax, totalItem, totalAmount, isGift, userId, shippingAddressId) values (3,'abc@hotmail.com','Standard',0,6.43644652646645,8,65,0,1,1);</v>
      </c>
      <c r="L9">
        <v>8</v>
      </c>
      <c r="M9" t="s">
        <v>20</v>
      </c>
      <c r="N9" t="s">
        <v>21</v>
      </c>
      <c r="O9" s="3">
        <v>26083</v>
      </c>
      <c r="P9" s="3">
        <v>26083</v>
      </c>
      <c r="Q9">
        <f t="shared" ca="1" si="0"/>
        <v>2</v>
      </c>
      <c r="R9">
        <f t="shared" ca="1" si="1"/>
        <v>117</v>
      </c>
      <c r="S9">
        <f t="shared" ca="1" si="2"/>
        <v>3</v>
      </c>
      <c r="T9" s="2" t="str">
        <f t="shared" ca="1" si="3"/>
        <v>insert into TBL_ORDER_ITEM (orderId, productId, productName, colorId, colorAlt, size, price, quantity) values (8,'prod9820681','Dummy Product','26083','26083',2,117,3);</v>
      </c>
    </row>
    <row r="10" spans="1:20" ht="16" customHeight="1" x14ac:dyDescent="0.2">
      <c r="A10">
        <f t="shared" ca="1" si="4"/>
        <v>3</v>
      </c>
      <c r="B10" t="s">
        <v>10</v>
      </c>
      <c r="C10" t="s">
        <v>11</v>
      </c>
      <c r="D10">
        <v>0</v>
      </c>
      <c r="E10" s="1">
        <f t="shared" ca="1" si="5"/>
        <v>5.714311274782883</v>
      </c>
      <c r="F10">
        <f t="shared" ca="1" si="6"/>
        <v>3</v>
      </c>
      <c r="G10">
        <f t="shared" ca="1" si="7"/>
        <v>188</v>
      </c>
      <c r="H10">
        <v>0</v>
      </c>
      <c r="I10">
        <v>1</v>
      </c>
      <c r="J10">
        <v>1</v>
      </c>
      <c r="K10" s="2" t="str">
        <f t="shared" ca="1" si="8"/>
        <v>insert into TBL_ORDER (status, notificationEmail, deliveryOption, deliveryFee, tax, totalItem, totalAmount, isGift, userId, shippingAddressId) values (3,'abc@hotmail.com','Standard',0,5.71431127478288,3,188,0,1,1);</v>
      </c>
      <c r="L10">
        <v>9</v>
      </c>
      <c r="M10" t="s">
        <v>20</v>
      </c>
      <c r="N10" t="s">
        <v>21</v>
      </c>
      <c r="O10" s="3">
        <v>26083</v>
      </c>
      <c r="P10" s="3">
        <v>26083</v>
      </c>
      <c r="Q10">
        <f t="shared" ca="1" si="0"/>
        <v>0</v>
      </c>
      <c r="R10">
        <f t="shared" ca="1" si="1"/>
        <v>61</v>
      </c>
      <c r="S10">
        <f t="shared" ca="1" si="2"/>
        <v>3</v>
      </c>
      <c r="T10" s="2" t="str">
        <f t="shared" ca="1" si="3"/>
        <v>insert into TBL_ORDER_ITEM (orderId, productId, productName, colorId, colorAlt, size, price, quantity) values (9,'prod9820681','Dummy Product','26083','26083',0,61,3);</v>
      </c>
    </row>
    <row r="11" spans="1:20" ht="16" customHeight="1" x14ac:dyDescent="0.2">
      <c r="A11">
        <f t="shared" ca="1" si="4"/>
        <v>3</v>
      </c>
      <c r="B11" t="s">
        <v>10</v>
      </c>
      <c r="C11" t="s">
        <v>11</v>
      </c>
      <c r="D11">
        <v>0</v>
      </c>
      <c r="E11" s="1">
        <f t="shared" ca="1" si="5"/>
        <v>5.6950287383853349</v>
      </c>
      <c r="F11">
        <f t="shared" ca="1" si="6"/>
        <v>5</v>
      </c>
      <c r="G11">
        <f t="shared" ca="1" si="7"/>
        <v>169</v>
      </c>
      <c r="H11">
        <v>0</v>
      </c>
      <c r="I11">
        <v>1</v>
      </c>
      <c r="J11">
        <v>1</v>
      </c>
      <c r="K11" s="2" t="str">
        <f t="shared" ca="1" si="8"/>
        <v>insert into TBL_ORDER (status, notificationEmail, deliveryOption, deliveryFee, tax, totalItem, totalAmount, isGift, userId, shippingAddressId) values (3,'abc@hotmail.com','Standard',0,5.69502873838533,5,169,0,1,1);</v>
      </c>
      <c r="L11">
        <v>10</v>
      </c>
      <c r="M11" t="s">
        <v>20</v>
      </c>
      <c r="N11" t="s">
        <v>21</v>
      </c>
      <c r="O11" s="3">
        <v>26083</v>
      </c>
      <c r="P11" s="3">
        <v>26083</v>
      </c>
      <c r="Q11">
        <f t="shared" ca="1" si="0"/>
        <v>18</v>
      </c>
      <c r="R11">
        <f t="shared" ca="1" si="1"/>
        <v>52</v>
      </c>
      <c r="S11">
        <f t="shared" ca="1" si="2"/>
        <v>3</v>
      </c>
      <c r="T11" s="2" t="str">
        <f t="shared" ca="1" si="3"/>
        <v>insert into TBL_ORDER_ITEM (orderId, productId, productName, colorId, colorAlt, size, price, quantity) values (10,'prod9820681','Dummy Product','26083','26083',18,52,3);</v>
      </c>
    </row>
    <row r="12" spans="1:20" ht="16" customHeight="1" x14ac:dyDescent="0.2">
      <c r="A12">
        <f t="shared" ca="1" si="4"/>
        <v>3</v>
      </c>
      <c r="B12" t="s">
        <v>10</v>
      </c>
      <c r="C12" t="s">
        <v>11</v>
      </c>
      <c r="D12">
        <v>0</v>
      </c>
      <c r="E12" s="1">
        <f t="shared" ca="1" si="5"/>
        <v>5.3413018668061678</v>
      </c>
      <c r="F12">
        <f t="shared" ca="1" si="6"/>
        <v>8</v>
      </c>
      <c r="G12">
        <f t="shared" ca="1" si="7"/>
        <v>186</v>
      </c>
      <c r="H12">
        <v>0</v>
      </c>
      <c r="I12">
        <v>1</v>
      </c>
      <c r="J12">
        <v>1</v>
      </c>
      <c r="K12" s="2" t="str">
        <f t="shared" ca="1" si="8"/>
        <v>insert into TBL_ORDER (status, notificationEmail, deliveryOption, deliveryFee, tax, totalItem, totalAmount, isGift, userId, shippingAddressId) values (3,'abc@hotmail.com','Standard',0,5.34130186680617,8,186,0,1,1);</v>
      </c>
      <c r="L12">
        <v>11</v>
      </c>
      <c r="M12" t="s">
        <v>20</v>
      </c>
      <c r="N12" t="s">
        <v>21</v>
      </c>
      <c r="O12" s="3">
        <v>26083</v>
      </c>
      <c r="P12" s="3">
        <v>26083</v>
      </c>
      <c r="Q12">
        <f t="shared" ca="1" si="0"/>
        <v>18</v>
      </c>
      <c r="R12">
        <f t="shared" ca="1" si="1"/>
        <v>71</v>
      </c>
      <c r="S12">
        <f t="shared" ca="1" si="2"/>
        <v>1</v>
      </c>
      <c r="T12" s="2" t="str">
        <f t="shared" ca="1" si="3"/>
        <v>insert into TBL_ORDER_ITEM (orderId, productId, productName, colorId, colorAlt, size, price, quantity) values (11,'prod9820681','Dummy Product','26083','26083',18,71,1);</v>
      </c>
    </row>
    <row r="13" spans="1:20" ht="16" customHeight="1" x14ac:dyDescent="0.2">
      <c r="A13">
        <f t="shared" ca="1" si="4"/>
        <v>3</v>
      </c>
      <c r="B13" t="s">
        <v>10</v>
      </c>
      <c r="C13" t="s">
        <v>11</v>
      </c>
      <c r="D13">
        <v>0</v>
      </c>
      <c r="E13" s="1">
        <f t="shared" ca="1" si="5"/>
        <v>5.9004960115001577</v>
      </c>
      <c r="F13">
        <f t="shared" ca="1" si="6"/>
        <v>7</v>
      </c>
      <c r="G13">
        <f t="shared" ca="1" si="7"/>
        <v>99</v>
      </c>
      <c r="H13">
        <v>0</v>
      </c>
      <c r="I13">
        <v>1</v>
      </c>
      <c r="J13">
        <v>1</v>
      </c>
      <c r="K13" s="2" t="str">
        <f t="shared" ca="1" si="8"/>
        <v>insert into TBL_ORDER (status, notificationEmail, deliveryOption, deliveryFee, tax, totalItem, totalAmount, isGift, userId, shippingAddressId) values (3,'abc@hotmail.com','Standard',0,5.90049601150016,7,99,0,1,1);</v>
      </c>
      <c r="L13">
        <v>12</v>
      </c>
      <c r="M13" t="s">
        <v>20</v>
      </c>
      <c r="N13" t="s">
        <v>21</v>
      </c>
      <c r="O13" s="3">
        <v>26083</v>
      </c>
      <c r="P13" s="3">
        <v>26083</v>
      </c>
      <c r="Q13">
        <f t="shared" ca="1" si="0"/>
        <v>0</v>
      </c>
      <c r="R13">
        <f t="shared" ca="1" si="1"/>
        <v>51</v>
      </c>
      <c r="S13">
        <f t="shared" ca="1" si="2"/>
        <v>4</v>
      </c>
      <c r="T13" s="2" t="str">
        <f t="shared" ca="1" si="3"/>
        <v>insert into TBL_ORDER_ITEM (orderId, productId, productName, colorId, colorAlt, size, price, quantity) values (12,'prod9820681','Dummy Product','26083','26083',0,51,4);</v>
      </c>
    </row>
    <row r="14" spans="1:20" ht="16" customHeight="1" x14ac:dyDescent="0.2">
      <c r="A14">
        <f t="shared" ca="1" si="4"/>
        <v>1</v>
      </c>
      <c r="B14" t="s">
        <v>10</v>
      </c>
      <c r="C14" t="s">
        <v>11</v>
      </c>
      <c r="D14">
        <v>0</v>
      </c>
      <c r="E14" s="1">
        <f t="shared" ca="1" si="5"/>
        <v>5.7613305689445564</v>
      </c>
      <c r="F14">
        <f t="shared" ca="1" si="6"/>
        <v>2</v>
      </c>
      <c r="G14">
        <f t="shared" ca="1" si="7"/>
        <v>133</v>
      </c>
      <c r="H14">
        <v>0</v>
      </c>
      <c r="I14">
        <v>1</v>
      </c>
      <c r="J14">
        <v>1</v>
      </c>
      <c r="K14" s="2" t="str">
        <f t="shared" ca="1" si="8"/>
        <v>insert into TBL_ORDER (status, notificationEmail, deliveryOption, deliveryFee, tax, totalItem, totalAmount, isGift, userId, shippingAddressId) values (1,'abc@hotmail.com','Standard',0,5.76133056894456,2,133,0,1,1);</v>
      </c>
      <c r="L14">
        <v>13</v>
      </c>
      <c r="M14" t="s">
        <v>20</v>
      </c>
      <c r="N14" t="s">
        <v>21</v>
      </c>
      <c r="O14" s="3">
        <v>26083</v>
      </c>
      <c r="P14" s="3">
        <v>26083</v>
      </c>
      <c r="Q14">
        <f t="shared" ca="1" si="0"/>
        <v>4</v>
      </c>
      <c r="R14">
        <f t="shared" ca="1" si="1"/>
        <v>109</v>
      </c>
      <c r="S14">
        <f t="shared" ca="1" si="2"/>
        <v>2</v>
      </c>
      <c r="T14" s="2" t="str">
        <f t="shared" ca="1" si="3"/>
        <v>insert into TBL_ORDER_ITEM (orderId, productId, productName, colorId, colorAlt, size, price, quantity) values (13,'prod9820681','Dummy Product','26083','26083',4,109,2);</v>
      </c>
    </row>
    <row r="15" spans="1:20" ht="16" customHeight="1" x14ac:dyDescent="0.2">
      <c r="A15">
        <f t="shared" ca="1" si="4"/>
        <v>1</v>
      </c>
      <c r="B15" t="s">
        <v>10</v>
      </c>
      <c r="C15" t="s">
        <v>11</v>
      </c>
      <c r="D15">
        <v>0</v>
      </c>
      <c r="E15" s="1">
        <f t="shared" ca="1" si="5"/>
        <v>5.2139773712421693</v>
      </c>
      <c r="F15">
        <f t="shared" ca="1" si="6"/>
        <v>7</v>
      </c>
      <c r="G15">
        <f t="shared" ca="1" si="7"/>
        <v>81</v>
      </c>
      <c r="H15">
        <v>0</v>
      </c>
      <c r="I15">
        <v>1</v>
      </c>
      <c r="J15">
        <v>1</v>
      </c>
      <c r="K15" s="2" t="str">
        <f t="shared" ca="1" si="8"/>
        <v>insert into TBL_ORDER (status, notificationEmail, deliveryOption, deliveryFee, tax, totalItem, totalAmount, isGift, userId, shippingAddressId) values (1,'abc@hotmail.com','Standard',0,5.21397737124217,7,81,0,1,1);</v>
      </c>
      <c r="L15">
        <v>14</v>
      </c>
      <c r="M15" t="s">
        <v>20</v>
      </c>
      <c r="N15" t="s">
        <v>21</v>
      </c>
      <c r="O15" s="3">
        <v>26083</v>
      </c>
      <c r="P15" s="3">
        <v>26083</v>
      </c>
      <c r="Q15">
        <f t="shared" ca="1" si="0"/>
        <v>10</v>
      </c>
      <c r="R15">
        <f t="shared" ca="1" si="1"/>
        <v>97</v>
      </c>
      <c r="S15">
        <f t="shared" ca="1" si="2"/>
        <v>5</v>
      </c>
      <c r="T15" s="2" t="str">
        <f t="shared" ca="1" si="3"/>
        <v>insert into TBL_ORDER_ITEM (orderId, productId, productName, colorId, colorAlt, size, price, quantity) values (14,'prod9820681','Dummy Product','26083','26083',10,97,5);</v>
      </c>
    </row>
    <row r="16" spans="1:20" ht="16" customHeight="1" x14ac:dyDescent="0.2">
      <c r="A16">
        <f t="shared" ca="1" si="4"/>
        <v>1</v>
      </c>
      <c r="B16" t="s">
        <v>10</v>
      </c>
      <c r="C16" t="s">
        <v>11</v>
      </c>
      <c r="D16">
        <v>0</v>
      </c>
      <c r="E16" s="1">
        <f t="shared" ca="1" si="5"/>
        <v>5.3213127450120918</v>
      </c>
      <c r="F16">
        <f t="shared" ca="1" si="6"/>
        <v>10</v>
      </c>
      <c r="G16">
        <f t="shared" ca="1" si="7"/>
        <v>114</v>
      </c>
      <c r="H16">
        <v>0</v>
      </c>
      <c r="I16">
        <v>1</v>
      </c>
      <c r="J16">
        <v>1</v>
      </c>
      <c r="K16" s="2" t="str">
        <f t="shared" ca="1" si="8"/>
        <v>insert into TBL_ORDER (status, notificationEmail, deliveryOption, deliveryFee, tax, totalItem, totalAmount, isGift, userId, shippingAddressId) values (1,'abc@hotmail.com','Standard',0,5.32131274501209,10,114,0,1,1);</v>
      </c>
      <c r="L16">
        <v>15</v>
      </c>
      <c r="M16" t="s">
        <v>20</v>
      </c>
      <c r="N16" t="s">
        <v>21</v>
      </c>
      <c r="O16" s="3">
        <v>26083</v>
      </c>
      <c r="P16" s="3">
        <v>26083</v>
      </c>
      <c r="Q16">
        <f t="shared" ca="1" si="0"/>
        <v>0</v>
      </c>
      <c r="R16">
        <f t="shared" ca="1" si="1"/>
        <v>51</v>
      </c>
      <c r="S16">
        <f t="shared" ca="1" si="2"/>
        <v>3</v>
      </c>
      <c r="T16" s="2" t="str">
        <f t="shared" ca="1" si="3"/>
        <v>insert into TBL_ORDER_ITEM (orderId, productId, productName, colorId, colorAlt, size, price, quantity) values (15,'prod9820681','Dummy Product','26083','26083',0,51,3);</v>
      </c>
    </row>
    <row r="17" spans="1:20" ht="16" customHeight="1" x14ac:dyDescent="0.2">
      <c r="A17">
        <f t="shared" ca="1" si="4"/>
        <v>1</v>
      </c>
      <c r="B17" t="s">
        <v>10</v>
      </c>
      <c r="C17" t="s">
        <v>11</v>
      </c>
      <c r="D17">
        <v>0</v>
      </c>
      <c r="E17" s="1">
        <f t="shared" ca="1" si="5"/>
        <v>6.843479003495597</v>
      </c>
      <c r="F17">
        <f t="shared" ca="1" si="6"/>
        <v>10</v>
      </c>
      <c r="G17">
        <f t="shared" ca="1" si="7"/>
        <v>168</v>
      </c>
      <c r="H17">
        <v>0</v>
      </c>
      <c r="I17">
        <v>1</v>
      </c>
      <c r="J17">
        <v>1</v>
      </c>
      <c r="K17" s="2" t="str">
        <f t="shared" ca="1" si="8"/>
        <v>insert into TBL_ORDER (status, notificationEmail, deliveryOption, deliveryFee, tax, totalItem, totalAmount, isGift, userId, shippingAddressId) values (1,'abc@hotmail.com','Standard',0,6.8434790034956,10,168,0,1,1);</v>
      </c>
      <c r="L17">
        <v>16</v>
      </c>
      <c r="M17" t="s">
        <v>20</v>
      </c>
      <c r="N17" t="s">
        <v>21</v>
      </c>
      <c r="O17" s="3">
        <v>26083</v>
      </c>
      <c r="P17" s="3">
        <v>26083</v>
      </c>
      <c r="Q17">
        <f t="shared" ca="1" si="0"/>
        <v>6</v>
      </c>
      <c r="R17">
        <f t="shared" ca="1" si="1"/>
        <v>103</v>
      </c>
      <c r="S17">
        <f t="shared" ca="1" si="2"/>
        <v>4</v>
      </c>
      <c r="T17" s="2" t="str">
        <f t="shared" ca="1" si="3"/>
        <v>insert into TBL_ORDER_ITEM (orderId, productId, productName, colorId, colorAlt, size, price, quantity) values (16,'prod9820681','Dummy Product','26083','26083',6,103,4);</v>
      </c>
    </row>
    <row r="18" spans="1:20" ht="16" customHeight="1" x14ac:dyDescent="0.2">
      <c r="A18">
        <f t="shared" ca="1" si="4"/>
        <v>3</v>
      </c>
      <c r="B18" t="s">
        <v>10</v>
      </c>
      <c r="C18" t="s">
        <v>11</v>
      </c>
      <c r="D18">
        <v>0</v>
      </c>
      <c r="E18" s="1">
        <f t="shared" ca="1" si="5"/>
        <v>5.392285599928428</v>
      </c>
      <c r="F18">
        <f t="shared" ca="1" si="6"/>
        <v>3</v>
      </c>
      <c r="G18">
        <f t="shared" ca="1" si="7"/>
        <v>184</v>
      </c>
      <c r="H18">
        <v>0</v>
      </c>
      <c r="I18">
        <v>1</v>
      </c>
      <c r="J18">
        <v>1</v>
      </c>
      <c r="K18" s="2" t="str">
        <f t="shared" ca="1" si="8"/>
        <v>insert into TBL_ORDER (status, notificationEmail, deliveryOption, deliveryFee, tax, totalItem, totalAmount, isGift, userId, shippingAddressId) values (3,'abc@hotmail.com','Standard',0,5.39228559992843,3,184,0,1,1);</v>
      </c>
      <c r="L18">
        <v>17</v>
      </c>
      <c r="M18" t="s">
        <v>20</v>
      </c>
      <c r="N18" t="s">
        <v>21</v>
      </c>
      <c r="O18" s="3">
        <v>26083</v>
      </c>
      <c r="P18" s="3">
        <v>26083</v>
      </c>
      <c r="Q18">
        <f t="shared" ca="1" si="0"/>
        <v>8</v>
      </c>
      <c r="R18">
        <f t="shared" ca="1" si="1"/>
        <v>56</v>
      </c>
      <c r="S18">
        <f t="shared" ca="1" si="2"/>
        <v>3</v>
      </c>
      <c r="T18" s="2" t="str">
        <f t="shared" ca="1" si="3"/>
        <v>insert into TBL_ORDER_ITEM (orderId, productId, productName, colorId, colorAlt, size, price, quantity) values (17,'prod9820681','Dummy Product','26083','26083',8,56,3);</v>
      </c>
    </row>
    <row r="19" spans="1:20" ht="16" customHeight="1" x14ac:dyDescent="0.2">
      <c r="A19">
        <v>9</v>
      </c>
      <c r="B19" t="s">
        <v>10</v>
      </c>
      <c r="C19" t="s">
        <v>11</v>
      </c>
      <c r="D19">
        <v>0</v>
      </c>
      <c r="E19" s="1">
        <f t="shared" ca="1" si="5"/>
        <v>5.2795302128577113</v>
      </c>
      <c r="F19">
        <f t="shared" ca="1" si="6"/>
        <v>1</v>
      </c>
      <c r="G19">
        <f t="shared" ca="1" si="7"/>
        <v>187</v>
      </c>
      <c r="H19">
        <v>0</v>
      </c>
      <c r="I19">
        <v>1</v>
      </c>
      <c r="J19">
        <v>1</v>
      </c>
      <c r="K19" s="2" t="str">
        <f t="shared" ca="1" si="8"/>
        <v>insert into TBL_ORDER (status, notificationEmail, deliveryOption, deliveryFee, tax, totalItem, totalAmount, isGift, userId, shippingAddressId) values (9,'abc@hotmail.com','Standard',0,5.27953021285771,1,187,0,1,1);</v>
      </c>
      <c r="L19">
        <v>18</v>
      </c>
      <c r="M19" t="s">
        <v>20</v>
      </c>
      <c r="N19" t="s">
        <v>21</v>
      </c>
      <c r="O19" s="3">
        <v>26083</v>
      </c>
      <c r="P19" s="3">
        <v>26083</v>
      </c>
      <c r="Q19">
        <f t="shared" ca="1" si="0"/>
        <v>2</v>
      </c>
      <c r="R19">
        <f t="shared" ca="1" si="1"/>
        <v>104</v>
      </c>
      <c r="S19">
        <f t="shared" ca="1" si="2"/>
        <v>4</v>
      </c>
      <c r="T19" s="2" t="str">
        <f t="shared" ca="1" si="3"/>
        <v>insert into TBL_ORDER_ITEM (orderId, productId, productName, colorId, colorAlt, size, price, quantity) values (18,'prod9820681','Dummy Product','26083','26083',2,104,4);</v>
      </c>
    </row>
    <row r="20" spans="1:20" ht="16" customHeight="1" x14ac:dyDescent="0.2">
      <c r="A20">
        <f t="shared" ca="1" si="4"/>
        <v>2</v>
      </c>
      <c r="B20" t="s">
        <v>10</v>
      </c>
      <c r="C20" t="s">
        <v>11</v>
      </c>
      <c r="D20">
        <v>0</v>
      </c>
      <c r="E20" s="1">
        <f t="shared" ca="1" si="5"/>
        <v>6.3140636587016798</v>
      </c>
      <c r="F20">
        <f t="shared" ca="1" si="6"/>
        <v>10</v>
      </c>
      <c r="G20">
        <f t="shared" ca="1" si="7"/>
        <v>74</v>
      </c>
      <c r="H20">
        <v>0</v>
      </c>
      <c r="I20">
        <v>1</v>
      </c>
      <c r="J20">
        <v>1</v>
      </c>
      <c r="K20" s="2" t="str">
        <f t="shared" ca="1" si="8"/>
        <v>insert into TBL_ORDER (status, notificationEmail, deliveryOption, deliveryFee, tax, totalItem, totalAmount, isGift, userId, shippingAddressId) values (2,'abc@hotmail.com','Standard',0,6.31406365870168,10,74,0,1,1);</v>
      </c>
      <c r="L20">
        <v>19</v>
      </c>
      <c r="M20" t="s">
        <v>20</v>
      </c>
      <c r="N20" t="s">
        <v>21</v>
      </c>
      <c r="O20" s="3">
        <v>26083</v>
      </c>
      <c r="P20" s="3">
        <v>26083</v>
      </c>
      <c r="Q20">
        <f t="shared" ca="1" si="0"/>
        <v>6</v>
      </c>
      <c r="R20">
        <f t="shared" ca="1" si="1"/>
        <v>61</v>
      </c>
      <c r="S20">
        <f t="shared" ca="1" si="2"/>
        <v>1</v>
      </c>
      <c r="T20" s="2" t="str">
        <f t="shared" ca="1" si="3"/>
        <v>insert into TBL_ORDER_ITEM (orderId, productId, productName, colorId, colorAlt, size, price, quantity) values (19,'prod9820681','Dummy Product','26083','26083',6,61,1);</v>
      </c>
    </row>
    <row r="21" spans="1:20" ht="16" customHeight="1" x14ac:dyDescent="0.2">
      <c r="A21">
        <f t="shared" ca="1" si="4"/>
        <v>3</v>
      </c>
      <c r="B21" t="s">
        <v>10</v>
      </c>
      <c r="C21" t="s">
        <v>11</v>
      </c>
      <c r="D21">
        <v>0</v>
      </c>
      <c r="E21" s="1">
        <f t="shared" ca="1" si="5"/>
        <v>6.8465603576417449</v>
      </c>
      <c r="F21">
        <f t="shared" ca="1" si="6"/>
        <v>8</v>
      </c>
      <c r="G21">
        <f t="shared" ca="1" si="7"/>
        <v>143</v>
      </c>
      <c r="H21">
        <v>0</v>
      </c>
      <c r="I21">
        <v>1</v>
      </c>
      <c r="J21">
        <v>1</v>
      </c>
      <c r="K21" s="2" t="str">
        <f t="shared" ca="1" si="8"/>
        <v>insert into TBL_ORDER (status, notificationEmail, deliveryOption, deliveryFee, tax, totalItem, totalAmount, isGift, userId, shippingAddressId) values (3,'abc@hotmail.com','Standard',0,6.84656035764174,8,143,0,1,1);</v>
      </c>
      <c r="L21">
        <v>20</v>
      </c>
      <c r="M21" t="s">
        <v>20</v>
      </c>
      <c r="N21" t="s">
        <v>21</v>
      </c>
      <c r="O21" s="3">
        <v>26083</v>
      </c>
      <c r="P21" s="3">
        <v>26083</v>
      </c>
      <c r="Q21">
        <f t="shared" ca="1" si="0"/>
        <v>14</v>
      </c>
      <c r="R21">
        <f t="shared" ca="1" si="1"/>
        <v>110</v>
      </c>
      <c r="S21">
        <f t="shared" ca="1" si="2"/>
        <v>4</v>
      </c>
      <c r="T21" s="2" t="str">
        <f t="shared" ca="1" si="3"/>
        <v>insert into TBL_ORDER_ITEM (orderId, productId, productName, colorId, colorAlt, size, price, quantity) values (20,'prod9820681','Dummy Product','26083','26083',14,110,4);</v>
      </c>
    </row>
    <row r="22" spans="1:20" ht="16" customHeight="1" x14ac:dyDescent="0.2">
      <c r="A22">
        <v>9</v>
      </c>
      <c r="B22" t="s">
        <v>10</v>
      </c>
      <c r="C22" t="s">
        <v>11</v>
      </c>
      <c r="D22">
        <v>0</v>
      </c>
      <c r="E22" s="1">
        <f t="shared" ca="1" si="5"/>
        <v>5.056462643346963</v>
      </c>
      <c r="F22">
        <f t="shared" ca="1" si="6"/>
        <v>8</v>
      </c>
      <c r="G22">
        <f t="shared" ca="1" si="7"/>
        <v>25</v>
      </c>
      <c r="H22">
        <v>0</v>
      </c>
      <c r="I22">
        <v>1</v>
      </c>
      <c r="J22">
        <v>1</v>
      </c>
      <c r="K22" s="2" t="str">
        <f t="shared" ca="1" si="8"/>
        <v>insert into TBL_ORDER (status, notificationEmail, deliveryOption, deliveryFee, tax, totalItem, totalAmount, isGift, userId, shippingAddressId) values (9,'abc@hotmail.com','Standard',0,5.05646264334696,8,25,0,1,1);</v>
      </c>
      <c r="L22">
        <v>21</v>
      </c>
      <c r="M22" t="s">
        <v>20</v>
      </c>
      <c r="N22" t="s">
        <v>21</v>
      </c>
      <c r="O22" s="3">
        <v>26083</v>
      </c>
      <c r="P22" s="3">
        <v>26083</v>
      </c>
      <c r="Q22">
        <f t="shared" ca="1" si="0"/>
        <v>6</v>
      </c>
      <c r="R22">
        <f t="shared" ca="1" si="1"/>
        <v>63</v>
      </c>
      <c r="S22">
        <f t="shared" ca="1" si="2"/>
        <v>2</v>
      </c>
      <c r="T22" s="2" t="str">
        <f t="shared" ca="1" si="3"/>
        <v>insert into TBL_ORDER_ITEM (orderId, productId, productName, colorId, colorAlt, size, price, quantity) values (21,'prod9820681','Dummy Product','26083','26083',6,63,2);</v>
      </c>
    </row>
    <row r="23" spans="1:20" ht="16" customHeight="1" x14ac:dyDescent="0.2">
      <c r="A23">
        <f t="shared" ca="1" si="4"/>
        <v>1</v>
      </c>
      <c r="B23" t="s">
        <v>10</v>
      </c>
      <c r="C23" t="s">
        <v>11</v>
      </c>
      <c r="D23">
        <v>0</v>
      </c>
      <c r="E23" s="1">
        <f t="shared" ca="1" si="5"/>
        <v>5.565606729881285</v>
      </c>
      <c r="F23">
        <f t="shared" ca="1" si="6"/>
        <v>2</v>
      </c>
      <c r="G23">
        <f t="shared" ca="1" si="7"/>
        <v>130</v>
      </c>
      <c r="H23">
        <v>0</v>
      </c>
      <c r="I23">
        <v>1</v>
      </c>
      <c r="J23">
        <v>1</v>
      </c>
      <c r="K23" s="2" t="str">
        <f t="shared" ca="1" si="8"/>
        <v>insert into TBL_ORDER (status, notificationEmail, deliveryOption, deliveryFee, tax, totalItem, totalAmount, isGift, userId, shippingAddressId) values (1,'abc@hotmail.com','Standard',0,5.56560672988129,2,130,0,1,1);</v>
      </c>
      <c r="L23">
        <v>22</v>
      </c>
      <c r="M23" t="s">
        <v>20</v>
      </c>
      <c r="N23" t="s">
        <v>21</v>
      </c>
      <c r="O23" s="3">
        <v>26083</v>
      </c>
      <c r="P23" s="3">
        <v>26083</v>
      </c>
      <c r="Q23">
        <f t="shared" ca="1" si="0"/>
        <v>0</v>
      </c>
      <c r="R23">
        <f t="shared" ca="1" si="1"/>
        <v>110</v>
      </c>
      <c r="S23">
        <f t="shared" ca="1" si="2"/>
        <v>4</v>
      </c>
      <c r="T23" s="2" t="str">
        <f t="shared" ca="1" si="3"/>
        <v>insert into TBL_ORDER_ITEM (orderId, productId, productName, colorId, colorAlt, size, price, quantity) values (22,'prod9820681','Dummy Product','26083','26083',0,110,4);</v>
      </c>
    </row>
    <row r="24" spans="1:20" ht="16" customHeight="1" x14ac:dyDescent="0.2">
      <c r="A24">
        <f t="shared" ca="1" si="4"/>
        <v>1</v>
      </c>
      <c r="B24" t="s">
        <v>10</v>
      </c>
      <c r="C24" t="s">
        <v>11</v>
      </c>
      <c r="D24">
        <v>0</v>
      </c>
      <c r="E24" s="1">
        <f t="shared" ca="1" si="5"/>
        <v>6.2846236912781768</v>
      </c>
      <c r="F24">
        <f t="shared" ca="1" si="6"/>
        <v>7</v>
      </c>
      <c r="G24">
        <f t="shared" ca="1" si="7"/>
        <v>140</v>
      </c>
      <c r="H24">
        <v>0</v>
      </c>
      <c r="I24">
        <v>1</v>
      </c>
      <c r="J24">
        <v>1</v>
      </c>
      <c r="K24" s="2" t="str">
        <f t="shared" ca="1" si="8"/>
        <v>insert into TBL_ORDER (status, notificationEmail, deliveryOption, deliveryFee, tax, totalItem, totalAmount, isGift, userId, shippingAddressId) values (1,'abc@hotmail.com','Standard',0,6.28462369127818,7,140,0,1,1);</v>
      </c>
      <c r="L24">
        <v>23</v>
      </c>
      <c r="M24" t="s">
        <v>20</v>
      </c>
      <c r="N24" t="s">
        <v>21</v>
      </c>
      <c r="O24" s="3">
        <v>26083</v>
      </c>
      <c r="P24" s="3">
        <v>26083</v>
      </c>
      <c r="Q24">
        <f t="shared" ca="1" si="0"/>
        <v>4</v>
      </c>
      <c r="R24">
        <f t="shared" ca="1" si="1"/>
        <v>120</v>
      </c>
      <c r="S24">
        <f t="shared" ca="1" si="2"/>
        <v>3</v>
      </c>
      <c r="T24" s="2" t="str">
        <f t="shared" ca="1" si="3"/>
        <v>insert into TBL_ORDER_ITEM (orderId, productId, productName, colorId, colorAlt, size, price, quantity) values (23,'prod9820681','Dummy Product','26083','26083',4,120,3);</v>
      </c>
    </row>
    <row r="25" spans="1:20" ht="16" customHeight="1" x14ac:dyDescent="0.2">
      <c r="A25">
        <f t="shared" ca="1" si="4"/>
        <v>1</v>
      </c>
      <c r="B25" t="s">
        <v>10</v>
      </c>
      <c r="C25" t="s">
        <v>11</v>
      </c>
      <c r="D25">
        <v>0</v>
      </c>
      <c r="E25" s="1">
        <f t="shared" ca="1" si="5"/>
        <v>5.5824770220743005</v>
      </c>
      <c r="F25">
        <f t="shared" ca="1" si="6"/>
        <v>5</v>
      </c>
      <c r="G25">
        <f t="shared" ca="1" si="7"/>
        <v>109</v>
      </c>
      <c r="H25">
        <v>0</v>
      </c>
      <c r="I25">
        <v>1</v>
      </c>
      <c r="J25">
        <v>1</v>
      </c>
      <c r="K25" s="2" t="str">
        <f t="shared" ca="1" si="8"/>
        <v>insert into TBL_ORDER (status, notificationEmail, deliveryOption, deliveryFee, tax, totalItem, totalAmount, isGift, userId, shippingAddressId) values (1,'abc@hotmail.com','Standard',0,5.5824770220743,5,109,0,1,1);</v>
      </c>
      <c r="L25">
        <v>24</v>
      </c>
      <c r="M25" t="s">
        <v>20</v>
      </c>
      <c r="N25" t="s">
        <v>21</v>
      </c>
      <c r="O25" s="3">
        <v>26083</v>
      </c>
      <c r="P25" s="3">
        <v>26083</v>
      </c>
      <c r="Q25">
        <f t="shared" ca="1" si="0"/>
        <v>6</v>
      </c>
      <c r="R25">
        <f t="shared" ca="1" si="1"/>
        <v>89</v>
      </c>
      <c r="S25">
        <f t="shared" ca="1" si="2"/>
        <v>1</v>
      </c>
      <c r="T25" s="2" t="str">
        <f t="shared" ca="1" si="3"/>
        <v>insert into TBL_ORDER_ITEM (orderId, productId, productName, colorId, colorAlt, size, price, quantity) values (24,'prod9820681','Dummy Product','26083','26083',6,89,1);</v>
      </c>
    </row>
    <row r="26" spans="1:20" ht="16" customHeight="1" x14ac:dyDescent="0.2">
      <c r="A26">
        <f t="shared" ca="1" si="4"/>
        <v>1</v>
      </c>
      <c r="B26" t="s">
        <v>10</v>
      </c>
      <c r="C26" t="s">
        <v>11</v>
      </c>
      <c r="D26">
        <v>0</v>
      </c>
      <c r="E26" s="1">
        <f t="shared" ca="1" si="5"/>
        <v>6.3629274713253938</v>
      </c>
      <c r="F26">
        <f t="shared" ca="1" si="6"/>
        <v>1</v>
      </c>
      <c r="G26">
        <f t="shared" ca="1" si="7"/>
        <v>53</v>
      </c>
      <c r="H26">
        <v>0</v>
      </c>
      <c r="I26">
        <v>1</v>
      </c>
      <c r="J26">
        <v>1</v>
      </c>
      <c r="K26" s="2" t="str">
        <f t="shared" ca="1" si="8"/>
        <v>insert into TBL_ORDER (status, notificationEmail, deliveryOption, deliveryFee, tax, totalItem, totalAmount, isGift, userId, shippingAddressId) values (1,'abc@hotmail.com','Standard',0,6.36292747132539,1,53,0,1,1);</v>
      </c>
      <c r="L26">
        <v>25</v>
      </c>
      <c r="M26" t="s">
        <v>20</v>
      </c>
      <c r="N26" t="s">
        <v>21</v>
      </c>
      <c r="O26" s="3">
        <v>26083</v>
      </c>
      <c r="P26" s="3">
        <v>26083</v>
      </c>
      <c r="Q26">
        <f t="shared" ca="1" si="0"/>
        <v>12</v>
      </c>
      <c r="R26">
        <f t="shared" ca="1" si="1"/>
        <v>56</v>
      </c>
      <c r="S26">
        <f t="shared" ca="1" si="2"/>
        <v>4</v>
      </c>
      <c r="T26" s="2" t="str">
        <f t="shared" ca="1" si="3"/>
        <v>insert into TBL_ORDER_ITEM (orderId, productId, productName, colorId, colorAlt, size, price, quantity) values (25,'prod9820681','Dummy Product','26083','26083',12,56,4);</v>
      </c>
    </row>
    <row r="27" spans="1:20" ht="16" customHeight="1" x14ac:dyDescent="0.2">
      <c r="A27">
        <f t="shared" ca="1" si="4"/>
        <v>1</v>
      </c>
      <c r="B27" t="s">
        <v>10</v>
      </c>
      <c r="C27" t="s">
        <v>11</v>
      </c>
      <c r="D27">
        <v>0</v>
      </c>
      <c r="E27" s="1">
        <f t="shared" ca="1" si="5"/>
        <v>6.7726131382935355</v>
      </c>
      <c r="F27">
        <f t="shared" ca="1" si="6"/>
        <v>7</v>
      </c>
      <c r="G27">
        <f t="shared" ca="1" si="7"/>
        <v>173</v>
      </c>
      <c r="H27">
        <v>0</v>
      </c>
      <c r="I27">
        <v>1</v>
      </c>
      <c r="J27">
        <v>1</v>
      </c>
      <c r="K27" s="2" t="str">
        <f t="shared" ca="1" si="8"/>
        <v>insert into TBL_ORDER (status, notificationEmail, deliveryOption, deliveryFee, tax, totalItem, totalAmount, isGift, userId, shippingAddressId) values (1,'abc@hotmail.com','Standard',0,6.77261313829354,7,173,0,1,1);</v>
      </c>
      <c r="L27">
        <v>26</v>
      </c>
      <c r="M27" t="s">
        <v>20</v>
      </c>
      <c r="N27" t="s">
        <v>21</v>
      </c>
      <c r="O27" s="3">
        <v>26083</v>
      </c>
      <c r="P27" s="3">
        <v>26083</v>
      </c>
      <c r="Q27">
        <f t="shared" ca="1" si="0"/>
        <v>18</v>
      </c>
      <c r="R27">
        <f t="shared" ca="1" si="1"/>
        <v>74</v>
      </c>
      <c r="S27">
        <f t="shared" ca="1" si="2"/>
        <v>3</v>
      </c>
      <c r="T27" s="2" t="str">
        <f t="shared" ca="1" si="3"/>
        <v>insert into TBL_ORDER_ITEM (orderId, productId, productName, colorId, colorAlt, size, price, quantity) values (26,'prod9820681','Dummy Product','26083','26083',18,74,3);</v>
      </c>
    </row>
    <row r="28" spans="1:20" ht="16" customHeight="1" x14ac:dyDescent="0.2">
      <c r="A28">
        <v>9</v>
      </c>
      <c r="B28" t="s">
        <v>10</v>
      </c>
      <c r="C28" t="s">
        <v>11</v>
      </c>
      <c r="D28">
        <v>0</v>
      </c>
      <c r="E28" s="1">
        <f t="shared" ca="1" si="5"/>
        <v>5.9587996694525591</v>
      </c>
      <c r="F28">
        <f t="shared" ca="1" si="6"/>
        <v>5</v>
      </c>
      <c r="G28">
        <f t="shared" ca="1" si="7"/>
        <v>66</v>
      </c>
      <c r="H28">
        <v>0</v>
      </c>
      <c r="I28">
        <v>1</v>
      </c>
      <c r="J28">
        <v>1</v>
      </c>
      <c r="K28" s="2" t="str">
        <f t="shared" ca="1" si="8"/>
        <v>insert into TBL_ORDER (status, notificationEmail, deliveryOption, deliveryFee, tax, totalItem, totalAmount, isGift, userId, shippingAddressId) values (9,'abc@hotmail.com','Standard',0,5.95879966945256,5,66,0,1,1);</v>
      </c>
      <c r="L28">
        <v>27</v>
      </c>
      <c r="M28" t="s">
        <v>20</v>
      </c>
      <c r="N28" t="s">
        <v>21</v>
      </c>
      <c r="O28" s="3">
        <v>26083</v>
      </c>
      <c r="P28" s="3">
        <v>26083</v>
      </c>
      <c r="Q28">
        <f t="shared" ca="1" si="0"/>
        <v>4</v>
      </c>
      <c r="R28">
        <f t="shared" ca="1" si="1"/>
        <v>61</v>
      </c>
      <c r="S28">
        <f t="shared" ca="1" si="2"/>
        <v>3</v>
      </c>
      <c r="T28" s="2" t="str">
        <f t="shared" ca="1" si="3"/>
        <v>insert into TBL_ORDER_ITEM (orderId, productId, productName, colorId, colorAlt, size, price, quantity) values (27,'prod9820681','Dummy Product','26083','26083',4,61,3);</v>
      </c>
    </row>
    <row r="29" spans="1:20" ht="16" customHeight="1" x14ac:dyDescent="0.2">
      <c r="A29">
        <f t="shared" ca="1" si="4"/>
        <v>1</v>
      </c>
      <c r="B29" t="s">
        <v>10</v>
      </c>
      <c r="C29" t="s">
        <v>11</v>
      </c>
      <c r="D29">
        <v>0</v>
      </c>
      <c r="E29" s="1">
        <f t="shared" ca="1" si="5"/>
        <v>5.0150569214887746</v>
      </c>
      <c r="F29">
        <f t="shared" ca="1" si="6"/>
        <v>4</v>
      </c>
      <c r="G29">
        <f t="shared" ca="1" si="7"/>
        <v>156</v>
      </c>
      <c r="H29">
        <v>0</v>
      </c>
      <c r="I29">
        <v>1</v>
      </c>
      <c r="J29">
        <v>1</v>
      </c>
      <c r="K29" s="2" t="str">
        <f t="shared" ca="1" si="8"/>
        <v>insert into TBL_ORDER (status, notificationEmail, deliveryOption, deliveryFee, tax, totalItem, totalAmount, isGift, userId, shippingAddressId) values (1,'abc@hotmail.com','Standard',0,5.01505692148877,4,156,0,1,1);</v>
      </c>
      <c r="L29">
        <v>28</v>
      </c>
      <c r="M29" t="s">
        <v>20</v>
      </c>
      <c r="N29" t="s">
        <v>21</v>
      </c>
      <c r="O29" s="3">
        <v>26083</v>
      </c>
      <c r="P29" s="3">
        <v>26083</v>
      </c>
      <c r="Q29">
        <f t="shared" ca="1" si="0"/>
        <v>18</v>
      </c>
      <c r="R29">
        <f t="shared" ca="1" si="1"/>
        <v>65</v>
      </c>
      <c r="S29">
        <f t="shared" ca="1" si="2"/>
        <v>5</v>
      </c>
      <c r="T29" s="2" t="str">
        <f t="shared" ca="1" si="3"/>
        <v>insert into TBL_ORDER_ITEM (orderId, productId, productName, colorId, colorAlt, size, price, quantity) values (28,'prod9820681','Dummy Product','26083','26083',18,65,5);</v>
      </c>
    </row>
    <row r="30" spans="1:20" ht="16" customHeight="1" x14ac:dyDescent="0.2">
      <c r="A30">
        <f t="shared" ca="1" si="4"/>
        <v>2</v>
      </c>
      <c r="B30" t="s">
        <v>10</v>
      </c>
      <c r="C30" t="s">
        <v>11</v>
      </c>
      <c r="D30">
        <v>0</v>
      </c>
      <c r="E30" s="1">
        <f t="shared" ca="1" si="5"/>
        <v>5.6799476400636788</v>
      </c>
      <c r="F30">
        <f t="shared" ca="1" si="6"/>
        <v>7</v>
      </c>
      <c r="G30">
        <f t="shared" ca="1" si="7"/>
        <v>125</v>
      </c>
      <c r="H30">
        <v>0</v>
      </c>
      <c r="I30">
        <v>1</v>
      </c>
      <c r="J30">
        <v>1</v>
      </c>
      <c r="K30" s="2" t="str">
        <f t="shared" ca="1" si="8"/>
        <v>insert into TBL_ORDER (status, notificationEmail, deliveryOption, deliveryFee, tax, totalItem, totalAmount, isGift, userId, shippingAddressId) values (2,'abc@hotmail.com','Standard',0,5.67994764006368,7,125,0,1,1);</v>
      </c>
      <c r="L30">
        <v>29</v>
      </c>
      <c r="M30" t="s">
        <v>20</v>
      </c>
      <c r="N30" t="s">
        <v>21</v>
      </c>
      <c r="O30" s="3">
        <v>26083</v>
      </c>
      <c r="P30" s="3">
        <v>26083</v>
      </c>
      <c r="Q30">
        <f t="shared" ca="1" si="0"/>
        <v>8</v>
      </c>
      <c r="R30">
        <f t="shared" ca="1" si="1"/>
        <v>109</v>
      </c>
      <c r="S30">
        <f t="shared" ca="1" si="2"/>
        <v>4</v>
      </c>
      <c r="T30" s="2" t="str">
        <f t="shared" ca="1" si="3"/>
        <v>insert into TBL_ORDER_ITEM (orderId, productId, productName, colorId, colorAlt, size, price, quantity) values (29,'prod9820681','Dummy Product','26083','26083',8,109,4);</v>
      </c>
    </row>
    <row r="31" spans="1:20" ht="16" customHeight="1" x14ac:dyDescent="0.2">
      <c r="A31">
        <v>9</v>
      </c>
      <c r="B31" t="s">
        <v>10</v>
      </c>
      <c r="C31" t="s">
        <v>11</v>
      </c>
      <c r="D31">
        <v>0</v>
      </c>
      <c r="E31" s="1">
        <f t="shared" ca="1" si="5"/>
        <v>5.4422128716420293</v>
      </c>
      <c r="F31">
        <f t="shared" ca="1" si="6"/>
        <v>3</v>
      </c>
      <c r="G31">
        <f t="shared" ca="1" si="7"/>
        <v>60</v>
      </c>
      <c r="H31">
        <v>0</v>
      </c>
      <c r="I31">
        <v>1</v>
      </c>
      <c r="J31">
        <v>1</v>
      </c>
      <c r="K31" s="2" t="str">
        <f t="shared" ca="1" si="8"/>
        <v>insert into TBL_ORDER (status, notificationEmail, deliveryOption, deliveryFee, tax, totalItem, totalAmount, isGift, userId, shippingAddressId) values (9,'abc@hotmail.com','Standard',0,5.44221287164203,3,60,0,1,1);</v>
      </c>
      <c r="L31">
        <v>30</v>
      </c>
      <c r="M31" t="s">
        <v>20</v>
      </c>
      <c r="N31" t="s">
        <v>21</v>
      </c>
      <c r="O31" s="3">
        <v>26083</v>
      </c>
      <c r="P31" s="3">
        <v>26083</v>
      </c>
      <c r="Q31">
        <f t="shared" ca="1" si="0"/>
        <v>0</v>
      </c>
      <c r="R31">
        <f t="shared" ca="1" si="1"/>
        <v>36</v>
      </c>
      <c r="S31">
        <f t="shared" ca="1" si="2"/>
        <v>2</v>
      </c>
      <c r="T31" s="2" t="str">
        <f t="shared" ca="1" si="3"/>
        <v>insert into TBL_ORDER_ITEM (orderId, productId, productName, colorId, colorAlt, size, price, quantity) values (30,'prod9820681','Dummy Product','26083','26083',0,36,2);</v>
      </c>
    </row>
    <row r="32" spans="1:20" ht="16" customHeight="1" x14ac:dyDescent="0.2">
      <c r="A32">
        <f t="shared" ca="1" si="4"/>
        <v>2</v>
      </c>
      <c r="B32" t="s">
        <v>10</v>
      </c>
      <c r="C32" t="s">
        <v>11</v>
      </c>
      <c r="D32">
        <v>0</v>
      </c>
      <c r="E32" s="1">
        <f t="shared" ca="1" si="5"/>
        <v>5.1603522876717758</v>
      </c>
      <c r="F32">
        <f t="shared" ca="1" si="6"/>
        <v>3</v>
      </c>
      <c r="G32">
        <f t="shared" ca="1" si="7"/>
        <v>53</v>
      </c>
      <c r="H32">
        <v>0</v>
      </c>
      <c r="I32">
        <v>1</v>
      </c>
      <c r="J32">
        <v>1</v>
      </c>
      <c r="K32" s="2" t="str">
        <f t="shared" ca="1" si="8"/>
        <v>insert into TBL_ORDER (status, notificationEmail, deliveryOption, deliveryFee, tax, totalItem, totalAmount, isGift, userId, shippingAddressId) values (2,'abc@hotmail.com','Standard',0,5.16035228767178,3,53,0,1,1);</v>
      </c>
      <c r="L32">
        <v>31</v>
      </c>
      <c r="M32" t="s">
        <v>20</v>
      </c>
      <c r="N32" t="s">
        <v>21</v>
      </c>
      <c r="O32" s="3">
        <v>26083</v>
      </c>
      <c r="P32" s="3">
        <v>26083</v>
      </c>
      <c r="Q32">
        <f t="shared" ca="1" si="0"/>
        <v>12</v>
      </c>
      <c r="R32">
        <f t="shared" ca="1" si="1"/>
        <v>66</v>
      </c>
      <c r="S32">
        <f t="shared" ca="1" si="2"/>
        <v>2</v>
      </c>
      <c r="T32" s="2" t="str">
        <f t="shared" ca="1" si="3"/>
        <v>insert into TBL_ORDER_ITEM (orderId, productId, productName, colorId, colorAlt, size, price, quantity) values (31,'prod9820681','Dummy Product','26083','26083',12,66,2);</v>
      </c>
    </row>
    <row r="33" spans="1:20" ht="16" customHeight="1" x14ac:dyDescent="0.2">
      <c r="A33">
        <f t="shared" ca="1" si="4"/>
        <v>3</v>
      </c>
      <c r="B33" t="s">
        <v>10</v>
      </c>
      <c r="C33" t="s">
        <v>11</v>
      </c>
      <c r="D33">
        <v>0</v>
      </c>
      <c r="E33" s="1">
        <f t="shared" ca="1" si="5"/>
        <v>5.9245488724701705</v>
      </c>
      <c r="F33">
        <f t="shared" ca="1" si="6"/>
        <v>8</v>
      </c>
      <c r="G33">
        <f t="shared" ca="1" si="7"/>
        <v>43</v>
      </c>
      <c r="H33">
        <v>0</v>
      </c>
      <c r="I33">
        <v>1</v>
      </c>
      <c r="J33">
        <v>1</v>
      </c>
      <c r="K33" s="2" t="str">
        <f t="shared" ca="1" si="8"/>
        <v>insert into TBL_ORDER (status, notificationEmail, deliveryOption, deliveryFee, tax, totalItem, totalAmount, isGift, userId, shippingAddressId) values (3,'abc@hotmail.com','Standard',0,5.92454887247017,8,43,0,1,1);</v>
      </c>
      <c r="L33">
        <v>32</v>
      </c>
      <c r="M33" t="s">
        <v>20</v>
      </c>
      <c r="N33" t="s">
        <v>21</v>
      </c>
      <c r="O33" s="3">
        <v>26083</v>
      </c>
      <c r="P33" s="3">
        <v>26083</v>
      </c>
      <c r="Q33">
        <f t="shared" ca="1" si="0"/>
        <v>14</v>
      </c>
      <c r="R33">
        <f t="shared" ca="1" si="1"/>
        <v>62</v>
      </c>
      <c r="S33">
        <f t="shared" ca="1" si="2"/>
        <v>4</v>
      </c>
      <c r="T33" s="2" t="str">
        <f t="shared" ca="1" si="3"/>
        <v>insert into TBL_ORDER_ITEM (orderId, productId, productName, colorId, colorAlt, size, price, quantity) values (32,'prod9820681','Dummy Product','26083','26083',14,62,4);</v>
      </c>
    </row>
    <row r="34" spans="1:20" ht="16" customHeight="1" x14ac:dyDescent="0.2">
      <c r="A34">
        <f t="shared" ca="1" si="4"/>
        <v>3</v>
      </c>
      <c r="B34" t="s">
        <v>10</v>
      </c>
      <c r="C34" t="s">
        <v>11</v>
      </c>
      <c r="D34">
        <v>0</v>
      </c>
      <c r="E34" s="1">
        <f t="shared" ca="1" si="5"/>
        <v>6.5500569262734967</v>
      </c>
      <c r="F34">
        <f t="shared" ca="1" si="6"/>
        <v>4</v>
      </c>
      <c r="G34">
        <f t="shared" ca="1" si="7"/>
        <v>21</v>
      </c>
      <c r="H34">
        <v>0</v>
      </c>
      <c r="I34">
        <v>1</v>
      </c>
      <c r="J34">
        <v>1</v>
      </c>
      <c r="K34" s="2" t="str">
        <f t="shared" ca="1" si="8"/>
        <v>insert into TBL_ORDER (status, notificationEmail, deliveryOption, deliveryFee, tax, totalItem, totalAmount, isGift, userId, shippingAddressId) values (3,'abc@hotmail.com','Standard',0,6.5500569262735,4,21,0,1,1);</v>
      </c>
      <c r="L34">
        <v>33</v>
      </c>
      <c r="M34" t="s">
        <v>20</v>
      </c>
      <c r="N34" t="s">
        <v>21</v>
      </c>
      <c r="O34" s="3">
        <v>26083</v>
      </c>
      <c r="P34" s="3">
        <v>26083</v>
      </c>
      <c r="Q34">
        <f t="shared" ca="1" si="0"/>
        <v>18</v>
      </c>
      <c r="R34">
        <f t="shared" ca="1" si="1"/>
        <v>91</v>
      </c>
      <c r="S34">
        <f t="shared" ca="1" si="2"/>
        <v>3</v>
      </c>
      <c r="T34" s="2" t="str">
        <f t="shared" ca="1" si="3"/>
        <v>insert into TBL_ORDER_ITEM (orderId, productId, productName, colorId, colorAlt, size, price, quantity) values (33,'prod9820681','Dummy Product','26083','26083',18,91,3);</v>
      </c>
    </row>
  </sheetData>
  <phoneticPr fontId="1"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Rita Zhou</dc:creator>
  <cp:lastModifiedBy>Rita Zhou</cp:lastModifiedBy>
  <dcterms:created xsi:type="dcterms:W3CDTF">2024-08-06T06:17:02Z</dcterms:created>
  <dcterms:modified xsi:type="dcterms:W3CDTF">2024-08-06T07:31:23Z</dcterms:modified>
</cp:coreProperties>
</file>